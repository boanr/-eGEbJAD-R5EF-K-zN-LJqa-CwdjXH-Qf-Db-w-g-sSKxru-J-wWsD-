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E8451E56-8699-4994-BFE4-1AC566E6A638}" xr6:coauthVersionLast="47" xr6:coauthVersionMax="47" xr10:uidLastSave="{00000000-0000-0000-0000-000000000000}"/>
  <bookViews>
    <workbookView xWindow="-120" yWindow="-120" windowWidth="29040" windowHeight="15990" firstSheet="2" activeTab="5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  <sheet name="LOT_STATUS_RESULT_ELP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<sst xmlns="http://schemas.openxmlformats.org/spreadsheetml/2006/main" count="101" uniqueCount="75">
  <si>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</si>
  <si>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</si>
  <si>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</si>
  <si>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</si>
  <si>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</si>
  <si>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</si>
  <si>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</si>
  <si>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</si>
  <si>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</si>
  <si>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</si>
  <si>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</si>
  <si>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</si>
  <si>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</si>
  <si>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</si>
  <si>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</si>
  <si>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</si>
  <si>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</si>
  <si>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</si>
  <si>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</si>
  <si>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</si>
  <si>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</si>
  <si>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</si>
  <si>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</si>
  <si>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</si>
  <si>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</si>
  <si>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</si>
  <si>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B913973</t>
    <phoneticPr fontId="1" type="noConversion"/>
  </si>
  <si>
    <t>B817110</t>
    <phoneticPr fontId="1" type="noConversion"/>
  </si>
  <si>
    <t>B914012</t>
    <phoneticPr fontId="1" type="noConversion"/>
  </si>
  <si>
    <t>B913972</t>
    <phoneticPr fontId="1" type="noConversion"/>
  </si>
  <si>
    <t>B817111</t>
    <phoneticPr fontId="1" type="noConversion"/>
  </si>
  <si>
    <t>B914011</t>
    <phoneticPr fontId="1" type="noConversion"/>
  </si>
  <si>
    <t>B324627</t>
    <phoneticPr fontId="1" type="noConversion"/>
  </si>
  <si>
    <t>B324835</t>
    <phoneticPr fontId="1" type="noConversion"/>
  </si>
  <si>
    <t>B324907</t>
    <phoneticPr fontId="1" type="noConversion"/>
  </si>
  <si>
    <t>B325069</t>
    <phoneticPr fontId="1" type="noConversion"/>
  </si>
  <si>
    <t>B325029</t>
    <phoneticPr fontId="1" type="noConversion"/>
  </si>
  <si>
    <t>B325070</t>
    <phoneticPr fontId="1" type="noConversion"/>
  </si>
  <si>
    <t>B913981</t>
    <phoneticPr fontId="1" type="noConversion"/>
  </si>
  <si>
    <t>B913980</t>
    <phoneticPr fontId="1" type="noConversion"/>
  </si>
  <si>
    <t>B913979</t>
    <phoneticPr fontId="1" type="noConversion"/>
  </si>
  <si>
    <t>B325700</t>
    <phoneticPr fontId="1" type="noConversion"/>
  </si>
  <si>
    <t>B324721</t>
    <phoneticPr fontId="1" type="noConversion"/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</si>
  <si>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</si>
  <si>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</si>
  <si>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</si>
  <si>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</si>
  <si>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</si>
  <si>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</si>
  <si>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</si>
  <si>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B914012.00</t>
    <phoneticPr fontId="1" type="noConversion"/>
  </si>
  <si>
    <t>B913972.01</t>
    <phoneticPr fontId="1" type="noConversion"/>
  </si>
  <si>
    <t>B817111.11</t>
    <phoneticPr fontId="1" type="noConversion"/>
  </si>
  <si>
    <t>B817111.00</t>
    <phoneticPr fontId="1" type="noConversion"/>
  </si>
  <si>
    <t>B914011.00</t>
    <phoneticPr fontId="1" type="noConversion"/>
  </si>
  <si>
    <t>B324627.75</t>
    <phoneticPr fontId="1" type="noConversion"/>
  </si>
  <si>
    <t>B324907.25</t>
    <phoneticPr fontId="1" type="noConversion"/>
  </si>
  <si>
    <t>B817110.00</t>
    <phoneticPr fontId="1" type="noConversion"/>
  </si>
  <si>
    <t>B913972.00</t>
    <phoneticPr fontId="1" type="noConversion"/>
  </si>
  <si>
    <t>B325069.00</t>
    <phoneticPr fontId="1" type="noConversion"/>
  </si>
  <si>
    <t>B324627.47</t>
    <phoneticPr fontId="1" type="noConversion"/>
  </si>
  <si>
    <t>B325029.62</t>
    <phoneticPr fontId="1" type="noConversion"/>
  </si>
  <si>
    <t>B324627.28</t>
    <phoneticPr fontId="1" type="noConversion"/>
  </si>
  <si>
    <t>B325070.11</t>
    <phoneticPr fontId="1" type="noConversion"/>
  </si>
  <si>
    <t>B913981.00</t>
    <phoneticPr fontId="1" type="noConversion"/>
  </si>
  <si>
    <t>B913980.00</t>
    <phoneticPr fontId="1" type="noConversion"/>
  </si>
  <si>
    <t>B913979.00</t>
    <phoneticPr fontId="1" type="noConversion"/>
  </si>
  <si>
    <t>B325029.56</t>
    <phoneticPr fontId="1" type="noConversion"/>
  </si>
  <si>
    <t>B324907.00</t>
    <phoneticPr fontId="1" type="noConversion"/>
  </si>
  <si>
    <t>B325069.24</t>
    <phoneticPr fontId="1" type="noConversion"/>
  </si>
  <si>
    <t>B325700.00</t>
    <phoneticPr fontId="1" type="noConversion"/>
  </si>
  <si>
    <t>B324721.31</t>
    <phoneticPr fontId="1" type="noConversion"/>
  </si>
  <si>
    <t>B324907.54</t>
    <phoneticPr fontId="1" type="noConversion"/>
  </si>
  <si>
    <t>B324907.24</t>
    <phoneticPr fontId="1" type="noConversion"/>
  </si>
  <si>
    <t>B325629.00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</si>
</sst>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:D25"/>
  <sheetViews>
    <sheetView workbookViewId="0">
      <selection activeCell="D27" sqref="D27"/>
    </sheetView>
  </sheetViews>
  <sheetFormatPr defaultRowHeight="15.75" x14ac:dyDescent="0.25"/>
  <cols>
    <col min="1" max="16384" width="9.140625" style="13"/>
  </cols>
  <sheetData>
    <row r="1" spans="1:4" x14ac:dyDescent="0.25">
      <c r="A1" s="13" t="s">
        <v>26</v>
      </c>
      <c r="D1" s="13" t="s">
        <v>58</v>
      </c>
    </row>
    <row r="2" spans="1:4" x14ac:dyDescent="0.25">
      <c r="A2" s="13" t="s">
        <v>27</v>
      </c>
      <c r="D2" s="13" t="s">
        <v>57</v>
      </c>
    </row>
    <row r="3" spans="1:4" x14ac:dyDescent="0.25">
      <c r="A3" s="13" t="s">
        <v>28</v>
      </c>
      <c r="D3" s="13" t="s">
        <v>50</v>
      </c>
    </row>
    <row r="4" spans="1:4" x14ac:dyDescent="0.25">
      <c r="A4" s="13" t="s">
        <v>29</v>
      </c>
      <c r="D4" s="13" t="s">
        <v>51</v>
      </c>
    </row>
    <row r="5" spans="1:4" x14ac:dyDescent="0.25">
      <c r="A5" s="13" t="s">
        <v>30</v>
      </c>
      <c r="D5" s="13" t="s">
        <v>52</v>
      </c>
    </row>
    <row r="6" spans="1:4" x14ac:dyDescent="0.25">
      <c r="A6" s="13" t="s">
        <v>31</v>
      </c>
      <c r="D6" s="13" t="s">
        <v>53</v>
      </c>
    </row>
    <row r="7" spans="1:4" x14ac:dyDescent="0.25">
      <c r="A7" s="13" t="s">
        <v>32</v>
      </c>
      <c r="D7" s="13" t="s">
        <v>54</v>
      </c>
    </row>
    <row r="8" spans="1:4" x14ac:dyDescent="0.25">
      <c r="A8" s="13" t="s">
        <v>33</v>
      </c>
      <c r="D8" s="13" t="s">
        <v>55</v>
      </c>
    </row>
    <row r="9" spans="1:4" x14ac:dyDescent="0.25">
      <c r="A9" s="13" t="s">
        <v>34</v>
      </c>
      <c r="D9" s="13" t="s">
        <v>56</v>
      </c>
    </row>
    <row r="10" spans="1:4" x14ac:dyDescent="0.25">
      <c r="A10" s="13" t="s">
        <v>35</v>
      </c>
      <c r="D10" s="13" t="s">
        <v>59</v>
      </c>
    </row>
    <row r="11" spans="1:4" x14ac:dyDescent="0.25">
      <c r="A11" s="13" t="s">
        <v>36</v>
      </c>
      <c r="D11" s="13" t="s">
        <v>60</v>
      </c>
    </row>
    <row r="12" spans="1:4" x14ac:dyDescent="0.25">
      <c r="A12" s="13" t="s">
        <v>37</v>
      </c>
      <c r="D12" s="13" t="s">
        <v>61</v>
      </c>
    </row>
    <row r="13" spans="1:4" x14ac:dyDescent="0.25">
      <c r="A13" s="13" t="s">
        <v>38</v>
      </c>
      <c r="D13" s="13" t="s">
        <v>62</v>
      </c>
    </row>
    <row r="14" spans="1:4" x14ac:dyDescent="0.25">
      <c r="A14" s="13" t="s">
        <v>39</v>
      </c>
      <c r="D14" s="13" t="s">
        <v>63</v>
      </c>
    </row>
    <row r="15" spans="1:4" x14ac:dyDescent="0.25">
      <c r="A15" s="13" t="s">
        <v>40</v>
      </c>
      <c r="D15" s="13" t="s">
        <v>64</v>
      </c>
    </row>
    <row r="16" spans="1:4" x14ac:dyDescent="0.25">
      <c r="A16" s="13" t="s">
        <v>41</v>
      </c>
      <c r="D16" s="13" t="s">
        <v>65</v>
      </c>
    </row>
    <row r="17" spans="1:4" x14ac:dyDescent="0.25">
      <c r="A17" s="13" t="s">
        <v>42</v>
      </c>
      <c r="D17" s="13" t="s">
        <v>66</v>
      </c>
    </row>
    <row r="18" spans="1:4" x14ac:dyDescent="0.25">
      <c r="D18" s="13" t="s">
        <v>67</v>
      </c>
    </row>
    <row r="19" spans="1:4" x14ac:dyDescent="0.25">
      <c r="D19" s="13" t="s">
        <v>68</v>
      </c>
    </row>
    <row r="20" spans="1:4" x14ac:dyDescent="0.25">
      <c r="D20" s="13" t="s">
        <v>69</v>
      </c>
    </row>
    <row r="21" spans="1:4" x14ac:dyDescent="0.25">
      <c r="D21" s="13" t="s">
        <v>70</v>
      </c>
    </row>
    <row r="22" spans="1:4" x14ac:dyDescent="0.25">
      <c r="D22" s="13" t="s">
        <v>71</v>
      </c>
    </row>
    <row r="23" spans="1:4" x14ac:dyDescent="0.25">
      <c r="D23" s="13" t="s">
        <v>72</v>
      </c>
    </row>
    <row r="24" spans="1:4" x14ac:dyDescent="0.25">
      <c r="D24" s="13" t="s">
        <v>73</v>
      </c>
    </row>
    <row r="25" spans="1:4" x14ac:dyDescent="0.25">
      <c r="D25" s="13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H28" sqref="H28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43</v>
      </c>
      <c r="C1" s="11" t="s">
        <v>44</v>
      </c>
      <c r="D1" s="11" t="s">
        <v>45</v>
      </c>
      <c r="E1" s="11" t="s">
        <v>46</v>
      </c>
      <c r="F1" s="3" t="s">
        <v>47</v>
      </c>
      <c r="AA1" s="8">
        <f ca="1">NOW()</f>
        <v>45476.95444212963</v>
      </c>
      <c r="AB1">
        <f ca="1">YEAR(AA1)</f>
        <v>2024</v>
      </c>
      <c r="AC1">
        <f ca="1">MONTH(AA1)</f>
        <v>7</v>
      </c>
      <c r="AD1">
        <f ca="1">DAY(AA1)</f>
        <v>3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48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tabSelected="1" workbookViewId="0">
      <selection activeCell="H36" sqref="H36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48</v>
      </c>
      <c r="I1" s="11" t="s">
        <v>49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odule4.ImportDataFromOracle">
                <anchor moveWithCells="1" sizeWithCells="1">
                  <from>
                    <xdr:col>14</xdr:col>
                    <xdr:colOff>476250</xdr:colOff>
                    <xdr:row>0</xdr:row>
                    <xdr:rowOff>85725</xdr:rowOff>
                  </from>
                  <to>
                    <xdr:col>18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tool</vt:lpstr>
      <vt:lpstr>LOT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2024-07-03T14:54:46Z</dcterms:modified>
</cp:coreProperties>
</file>